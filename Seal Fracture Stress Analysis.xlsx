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<sst xmlns="http://schemas.openxmlformats.org/spreadsheetml/2006/main" count="65" uniqueCount="41">
  <si>
    <t>Constants:</t>
  </si>
  <si>
    <t>(m)</t>
  </si>
  <si>
    <t>Manufacturing Method</t>
  </si>
  <si>
    <t>Fracture Stress</t>
  </si>
  <si>
    <t>Foil Thickness</t>
  </si>
  <si>
    <t>T360, T300, T1</t>
  </si>
  <si>
    <t>Plastic Thick</t>
  </si>
  <si>
    <t>PART 2?</t>
  </si>
  <si>
    <t>Width</t>
  </si>
  <si>
    <t>T360, T300, T1.5</t>
  </si>
  <si>
    <t>T360, T300, T2</t>
  </si>
  <si>
    <t>Manufacturer Seal</t>
  </si>
  <si>
    <t>MS, T360, T3</t>
  </si>
  <si>
    <t>Tests</t>
  </si>
  <si>
    <t>kN</t>
  </si>
  <si>
    <t>N</t>
  </si>
  <si>
    <t>MPa</t>
  </si>
  <si>
    <t>Ultimate Tensile Stress (MPa)</t>
  </si>
  <si>
    <t>Manufacturer</t>
  </si>
  <si>
    <t>T360, T0.5s</t>
  </si>
  <si>
    <t>T360, T1s</t>
  </si>
  <si>
    <t>T360, T1.5s</t>
  </si>
  <si>
    <t>T360, T2s</t>
  </si>
  <si>
    <t>T360, T2.5s</t>
  </si>
  <si>
    <t>T360, T3s</t>
  </si>
  <si>
    <t>T400, T0.5s</t>
  </si>
  <si>
    <t>T400, T1s</t>
  </si>
  <si>
    <t>T400, T1.5s</t>
  </si>
  <si>
    <t>T400, T2s</t>
  </si>
  <si>
    <t>T400, T2.5s</t>
  </si>
  <si>
    <t>T400, T3s</t>
  </si>
  <si>
    <t>Manufacturing Method (b275 for all)</t>
  </si>
  <si>
    <t>T360, T.5</t>
  </si>
  <si>
    <t>T360,T.75</t>
  </si>
  <si>
    <t>T360,T1</t>
  </si>
  <si>
    <t>T360, T1.5</t>
  </si>
  <si>
    <t>T310, T1</t>
  </si>
  <si>
    <t>T310, T1.5</t>
  </si>
  <si>
    <t>MS, 360, T3</t>
  </si>
  <si>
    <t>Average Ultimate Tensile Stress (MPa)</t>
  </si>
  <si>
    <t>Makerspace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</si>
</sst>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3E3E3"/>
      <name val="Monospace"/>
    </font>
    <font>
      <sz val="11.0"/>
      <color rgb="FFE3E3E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Foil Laminate, Fracture Stress vs. Manufacturing Type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Sheet1!$B$2:$B$3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Sheet1!$A$4:$A$10</c:f>
            </c:numRef>
          </c:xVal>
          <c:yVal>
            <c:numRef>
              <c:f>Sheet1!$B$4:$B$10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788922"/>
        <c:axId val="1094670090"/>
      </c:scatterChart>
      <c:valAx>
        <c:axId val="4647889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Seal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670090"/>
      </c:valAx>
      <c:valAx>
        <c:axId val="1094670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Fracture Stress, GPa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788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360°F/300°F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Sheet1!$A$55:$A$61</c:f>
            </c:numRef>
          </c:xVal>
          <c:yVal>
            <c:numRef>
              <c:f>Sheet1!$B$58:$B$59</c:f>
              <c:numCache/>
            </c:numRef>
          </c:yVal>
        </c:ser>
        <c:ser>
          <c:idx val="1"/>
          <c:order val="1"/>
          <c:tx>
            <c:v>400°F/310°F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Sheet1!$A$55:$A$61</c:f>
            </c:numRef>
          </c:xVal>
          <c:yVal>
            <c:numRef>
              <c:f>Sheet1!$B$62:$B$67</c:f>
              <c:numCache/>
            </c:numRef>
          </c:yVal>
        </c:ser>
        <c:ser>
          <c:idx val="2"/>
          <c:order val="2"/>
          <c:tx>
            <c:v>Manufacturer Control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5"/>
            <c:marker>
              <c:symbol val="circle"/>
              <c:size val="10"/>
            </c:marker>
          </c:dPt>
          <c:xVal>
            <c:numRef>
              <c:f>Sheet1!$A$55:$A$61</c:f>
            </c:numRef>
          </c:xVal>
          <c:yVal>
            <c:numRef>
              <c:f>Sheet1!$B$69:$B$74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645514"/>
        <c:axId val="2019951220"/>
      </c:scatterChart>
      <c:valAx>
        <c:axId val="19426455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Tahoma"/>
                  </a:defRPr>
                </a:pPr>
                <a:r>
                  <a:rPr b="0" sz="1800">
                    <a:solidFill>
                      <a:srgbClr val="000000"/>
                    </a:solidFill>
                    <a:latin typeface="Tahoma"/>
                  </a:rPr>
                  <a:t>Seal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19951220"/>
      </c:valAx>
      <c:valAx>
        <c:axId val="2019951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Tahoma"/>
                  </a:defRPr>
                </a:pPr>
                <a:r>
                  <a:rPr b="0" sz="1200">
                    <a:solidFill>
                      <a:srgbClr val="000000"/>
                    </a:solidFill>
                    <a:latin typeface="Tahoma"/>
                  </a:rPr>
                  <a:t>Average Ultimate Tensile Stress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264551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Fracture Stress vs. Manufacturing Method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Sheet2!$A$2:$A$8</c:f>
            </c:numRef>
          </c:xVal>
          <c:yVal>
            <c:numRef>
              <c:f>Sheet2!$B$2:$B$8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98621"/>
        <c:axId val="1913357312"/>
      </c:scatterChart>
      <c:valAx>
        <c:axId val="1283898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Manufacturing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357312"/>
      </c:valAx>
      <c:valAx>
        <c:axId val="1913357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Fracture Stress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898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360°F/310°F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Sheet2!$A$66:$A$71</c:f>
            </c:numRef>
          </c:xVal>
          <c:yVal>
            <c:numRef>
              <c:f>Sheet2!$B$66:$B$71</c:f>
              <c:numCache/>
            </c:numRef>
          </c:yVal>
        </c:ser>
        <c:ser>
          <c:idx val="1"/>
          <c:order val="1"/>
          <c:tx>
            <c:v>Makerspace, 360°F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Sheet2!$A$66:$A$71</c:f>
            </c:numRef>
          </c:xVal>
          <c:yVal>
            <c:numRef>
              <c:f>Sheet2!$B$59:$B$64</c:f>
              <c:numCache/>
            </c:numRef>
          </c:yVal>
        </c:ser>
        <c:ser>
          <c:idx val="2"/>
          <c:order val="2"/>
          <c:tx>
            <c:v>400°F/340°F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Sheet2!$A$66:$A$71</c:f>
            </c:numRef>
          </c:xVal>
          <c:yVal>
            <c:numRef>
              <c:f>Sheet2!$B$73:$B$78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527847"/>
        <c:axId val="1030790399"/>
      </c:scatterChart>
      <c:valAx>
        <c:axId val="1463527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Seal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790399"/>
      </c:valAx>
      <c:valAx>
        <c:axId val="1030790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Average Ultimate Tensile Stress (MPa)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527847"/>
      </c:valAx>
    </c:plotArea>
    <c:legend>
      <c:legendPos val="r"/>
      <c:legendEntry>
        <c:idx val="2"/>
        <c:txPr>
          <a:bodyPr/>
          <a:lstStyle/>
          <a:p>
            <a:pPr lvl="0">
              <a:defRPr sz="1400"/>
            </a:pPr>
          </a:p>
        </c:txPr>
      </c:legendEntry>
      <c:layout>
        <c:manualLayout>
          <c:xMode val="edge"/>
          <c:yMode val="edge"/>
          <c:x val="0.24441813151041678"/>
          <c:y val="0.04730458221024259"/>
        </c:manualLayout>
      </c:layout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0</xdr:row>
      <xdr:rowOff>76200</xdr:rowOff>
    </xdr:from>
    <xdr:ext cx="4495800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800100</xdr:colOff>
      <xdr:row>60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55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0"/>
  </cols>
  <sheetData>
    <row r="1">
      <c r="A1" s="1"/>
      <c r="B1" s="1"/>
      <c r="E1" s="1" t="s">
        <v>0</v>
      </c>
      <c r="F1" s="1" t="s">
        <v>1</v>
      </c>
    </row>
    <row r="2">
      <c r="A2" s="1" t="s">
        <v>2</v>
      </c>
      <c r="B2" s="1" t="s">
        <v>3</v>
      </c>
      <c r="E2" s="1" t="s">
        <v>4</v>
      </c>
      <c r="F2" s="1">
        <v>1.83E-4</v>
      </c>
    </row>
    <row r="3">
      <c r="A3" s="1" t="s">
        <v>5</v>
      </c>
      <c r="B3" s="1">
        <v>0.00372486772486772</v>
      </c>
      <c r="E3" s="1" t="s">
        <v>6</v>
      </c>
      <c r="F3" s="1">
        <v>1.05E-4</v>
      </c>
    </row>
    <row r="4">
      <c r="A4" s="1" t="s">
        <v>5</v>
      </c>
      <c r="B4" s="1">
        <v>0.00186243386243386</v>
      </c>
      <c r="C4" s="1" t="s">
        <v>7</v>
      </c>
      <c r="E4" s="1" t="s">
        <v>8</v>
      </c>
      <c r="F4" s="1">
        <v>0.015</v>
      </c>
    </row>
    <row r="5">
      <c r="A5" s="1" t="s">
        <v>9</v>
      </c>
      <c r="B5" s="2">
        <v>0.0199788359788359</v>
      </c>
    </row>
    <row r="6">
      <c r="A6" s="1" t="s">
        <v>10</v>
      </c>
      <c r="B6" s="3">
        <v>0.0198941798941798</v>
      </c>
    </row>
    <row r="7">
      <c r="A7" s="1" t="s">
        <v>11</v>
      </c>
      <c r="B7" s="2">
        <v>0.0363386243386243</v>
      </c>
    </row>
    <row r="8">
      <c r="A8" s="1" t="s">
        <v>12</v>
      </c>
      <c r="B8" s="2">
        <v>0.00694179894179894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</row>
    <row r="12">
      <c r="B12" s="1">
        <v>0.0661</v>
      </c>
      <c r="C12" s="4">
        <f t="shared" ref="C12:C50" si="1">B12*1000</f>
        <v>66.1</v>
      </c>
      <c r="D12" s="4">
        <f t="shared" ref="D12:D50" si="2">(C12/($F$4*$F$2))/1000000</f>
        <v>24.08014572</v>
      </c>
    </row>
    <row r="13">
      <c r="A13" s="1" t="s">
        <v>18</v>
      </c>
      <c r="B13" s="1">
        <v>0.0669</v>
      </c>
      <c r="C13" s="4">
        <f t="shared" si="1"/>
        <v>66.9</v>
      </c>
      <c r="D13" s="4">
        <f t="shared" si="2"/>
        <v>24.3715847</v>
      </c>
      <c r="E13" s="4">
        <f>AVERAGE(D12:D14)</f>
        <v>24.7723133</v>
      </c>
    </row>
    <row r="14">
      <c r="B14" s="1">
        <v>0.071</v>
      </c>
      <c r="C14" s="4">
        <f t="shared" si="1"/>
        <v>71</v>
      </c>
      <c r="D14" s="4">
        <f t="shared" si="2"/>
        <v>25.86520947</v>
      </c>
    </row>
    <row r="15">
      <c r="B15" s="1">
        <v>6.0E-4</v>
      </c>
      <c r="C15" s="4">
        <f t="shared" si="1"/>
        <v>0.6</v>
      </c>
      <c r="D15" s="4">
        <f t="shared" si="2"/>
        <v>0.218579235</v>
      </c>
    </row>
    <row r="16">
      <c r="A16" s="1" t="s">
        <v>19</v>
      </c>
      <c r="B16" s="1">
        <v>7.0E-4</v>
      </c>
      <c r="C16" s="4">
        <f t="shared" si="1"/>
        <v>0.7</v>
      </c>
      <c r="D16" s="4">
        <f t="shared" si="2"/>
        <v>0.2550091075</v>
      </c>
      <c r="E16" s="4">
        <f>AVERAGE(D15:D17)</f>
        <v>0.2671523983</v>
      </c>
    </row>
    <row r="17">
      <c r="B17" s="1">
        <v>9.0E-4</v>
      </c>
      <c r="C17" s="4">
        <f t="shared" si="1"/>
        <v>0.9</v>
      </c>
      <c r="D17" s="4">
        <f t="shared" si="2"/>
        <v>0.3278688525</v>
      </c>
    </row>
    <row r="18">
      <c r="B18" s="1">
        <v>0.0238</v>
      </c>
      <c r="C18" s="4">
        <f t="shared" si="1"/>
        <v>23.8</v>
      </c>
      <c r="D18" s="4">
        <f t="shared" si="2"/>
        <v>8.670309654</v>
      </c>
    </row>
    <row r="19">
      <c r="A19" s="1" t="s">
        <v>20</v>
      </c>
      <c r="B19" s="1">
        <v>0.0285</v>
      </c>
      <c r="C19" s="4">
        <f t="shared" si="1"/>
        <v>28.5</v>
      </c>
      <c r="D19" s="4">
        <f t="shared" si="2"/>
        <v>10.38251366</v>
      </c>
      <c r="E19" s="4">
        <f>AVERAGE(D18:D20)</f>
        <v>8.718882817</v>
      </c>
    </row>
    <row r="20">
      <c r="B20" s="1">
        <v>0.0195</v>
      </c>
      <c r="C20" s="4">
        <f t="shared" si="1"/>
        <v>19.5</v>
      </c>
      <c r="D20" s="4">
        <f t="shared" si="2"/>
        <v>7.103825137</v>
      </c>
    </row>
    <row r="21">
      <c r="B21" s="1">
        <v>0.0464</v>
      </c>
      <c r="C21" s="4">
        <f t="shared" si="1"/>
        <v>46.4</v>
      </c>
      <c r="D21" s="4">
        <f t="shared" si="2"/>
        <v>16.90346084</v>
      </c>
    </row>
    <row r="22">
      <c r="A22" s="1" t="s">
        <v>21</v>
      </c>
      <c r="B22" s="1">
        <v>0.0423</v>
      </c>
      <c r="C22" s="4">
        <f t="shared" si="1"/>
        <v>42.3</v>
      </c>
      <c r="D22" s="4">
        <f t="shared" si="2"/>
        <v>15.40983607</v>
      </c>
      <c r="E22" s="4">
        <f>AVERAGE(D21:D23)</f>
        <v>15.90771099</v>
      </c>
    </row>
    <row r="23">
      <c r="B23" s="1">
        <v>0.0423</v>
      </c>
      <c r="C23" s="4">
        <f t="shared" si="1"/>
        <v>42.3</v>
      </c>
      <c r="D23" s="4">
        <f t="shared" si="2"/>
        <v>15.40983607</v>
      </c>
    </row>
    <row r="24">
      <c r="B24" s="1">
        <v>0.0461</v>
      </c>
      <c r="C24" s="4">
        <f t="shared" si="1"/>
        <v>46.1</v>
      </c>
      <c r="D24" s="4">
        <f t="shared" si="2"/>
        <v>16.79417122</v>
      </c>
    </row>
    <row r="25">
      <c r="A25" s="1" t="s">
        <v>22</v>
      </c>
      <c r="B25" s="1">
        <v>0.0478</v>
      </c>
      <c r="C25" s="4">
        <f t="shared" si="1"/>
        <v>47.8</v>
      </c>
      <c r="D25" s="4">
        <f t="shared" si="2"/>
        <v>17.41347905</v>
      </c>
      <c r="E25" s="4">
        <f>AVERAGE(D24:D26)</f>
        <v>17.10989678</v>
      </c>
    </row>
    <row r="26">
      <c r="B26" s="1">
        <v>0.047</v>
      </c>
      <c r="C26" s="4">
        <f t="shared" si="1"/>
        <v>47</v>
      </c>
      <c r="D26" s="4">
        <f t="shared" si="2"/>
        <v>17.12204007</v>
      </c>
    </row>
    <row r="27">
      <c r="B27" s="1">
        <v>0.0561</v>
      </c>
      <c r="C27" s="4">
        <f t="shared" si="1"/>
        <v>56.1</v>
      </c>
      <c r="D27" s="4">
        <f t="shared" si="2"/>
        <v>20.43715847</v>
      </c>
    </row>
    <row r="28">
      <c r="A28" s="1" t="s">
        <v>23</v>
      </c>
      <c r="B28" s="1">
        <v>0.0515</v>
      </c>
      <c r="C28" s="4">
        <f t="shared" si="1"/>
        <v>51.5</v>
      </c>
      <c r="D28" s="4">
        <f t="shared" si="2"/>
        <v>18.76138434</v>
      </c>
      <c r="E28" s="4">
        <f>AVERAGE(D27:D29)</f>
        <v>19.61141469</v>
      </c>
    </row>
    <row r="29">
      <c r="B29" s="1">
        <v>0.0539</v>
      </c>
      <c r="C29" s="4">
        <f t="shared" si="1"/>
        <v>53.9</v>
      </c>
      <c r="D29" s="4">
        <f t="shared" si="2"/>
        <v>19.63570128</v>
      </c>
    </row>
    <row r="30">
      <c r="B30" s="1">
        <v>0.0565</v>
      </c>
      <c r="C30" s="4">
        <f t="shared" si="1"/>
        <v>56.5</v>
      </c>
      <c r="D30" s="4">
        <f t="shared" si="2"/>
        <v>20.58287796</v>
      </c>
    </row>
    <row r="31">
      <c r="A31" s="1" t="s">
        <v>24</v>
      </c>
      <c r="B31" s="1">
        <v>0.0506</v>
      </c>
      <c r="C31" s="4">
        <f t="shared" si="1"/>
        <v>50.6</v>
      </c>
      <c r="D31" s="4">
        <f t="shared" si="2"/>
        <v>18.43351548</v>
      </c>
      <c r="E31" s="4">
        <f>AVERAGE(D30:D32)</f>
        <v>19.56284153</v>
      </c>
    </row>
    <row r="32">
      <c r="B32" s="1">
        <v>0.054</v>
      </c>
      <c r="C32" s="4">
        <f t="shared" si="1"/>
        <v>54</v>
      </c>
      <c r="D32" s="4">
        <f t="shared" si="2"/>
        <v>19.67213115</v>
      </c>
    </row>
    <row r="33">
      <c r="B33" s="1">
        <v>0.0025</v>
      </c>
      <c r="C33" s="4">
        <f t="shared" si="1"/>
        <v>2.5</v>
      </c>
      <c r="D33" s="4">
        <f t="shared" si="2"/>
        <v>0.9107468124</v>
      </c>
    </row>
    <row r="34">
      <c r="A34" s="1" t="s">
        <v>25</v>
      </c>
      <c r="B34" s="1">
        <v>0.0026</v>
      </c>
      <c r="C34" s="4">
        <f t="shared" si="1"/>
        <v>2.6</v>
      </c>
      <c r="D34" s="4">
        <f t="shared" si="2"/>
        <v>0.9471766849</v>
      </c>
      <c r="E34" s="4">
        <f>AVERAGE(D33:D35)</f>
        <v>1.044323012</v>
      </c>
    </row>
    <row r="35">
      <c r="B35" s="1">
        <v>0.0035</v>
      </c>
      <c r="C35" s="4">
        <f t="shared" si="1"/>
        <v>3.5</v>
      </c>
      <c r="D35" s="4">
        <f t="shared" si="2"/>
        <v>1.275045537</v>
      </c>
    </row>
    <row r="36">
      <c r="B36" s="1">
        <v>0.0462</v>
      </c>
      <c r="C36" s="4">
        <f t="shared" si="1"/>
        <v>46.2</v>
      </c>
      <c r="D36" s="4">
        <f t="shared" si="2"/>
        <v>16.83060109</v>
      </c>
    </row>
    <row r="37">
      <c r="A37" s="1" t="s">
        <v>26</v>
      </c>
      <c r="B37" s="1">
        <v>0.0498</v>
      </c>
      <c r="C37" s="4">
        <f t="shared" si="1"/>
        <v>49.8</v>
      </c>
      <c r="D37" s="4">
        <f t="shared" si="2"/>
        <v>18.1420765</v>
      </c>
      <c r="E37" s="4">
        <f>AVERAGE(D36:D38)</f>
        <v>17.52276867</v>
      </c>
    </row>
    <row r="38">
      <c r="B38" s="1">
        <v>0.0483</v>
      </c>
      <c r="C38" s="4">
        <f t="shared" si="1"/>
        <v>48.3</v>
      </c>
      <c r="D38" s="4">
        <f t="shared" si="2"/>
        <v>17.59562842</v>
      </c>
    </row>
    <row r="39">
      <c r="B39" s="5">
        <v>0.0605</v>
      </c>
      <c r="C39" s="4">
        <f t="shared" si="1"/>
        <v>60.5</v>
      </c>
      <c r="D39" s="4">
        <f t="shared" si="2"/>
        <v>22.04007286</v>
      </c>
    </row>
    <row r="40">
      <c r="A40" s="1" t="s">
        <v>27</v>
      </c>
      <c r="B40" s="1">
        <v>0.055</v>
      </c>
      <c r="C40" s="4">
        <f t="shared" si="1"/>
        <v>55</v>
      </c>
      <c r="D40" s="4">
        <f t="shared" si="2"/>
        <v>20.03642987</v>
      </c>
      <c r="E40" s="4">
        <f>AVERAGE(D40:D41)</f>
        <v>19.76320583</v>
      </c>
    </row>
    <row r="41">
      <c r="B41" s="1">
        <v>0.0535</v>
      </c>
      <c r="C41" s="4">
        <f t="shared" si="1"/>
        <v>53.5</v>
      </c>
      <c r="D41" s="4">
        <f t="shared" si="2"/>
        <v>19.48998179</v>
      </c>
    </row>
    <row r="42">
      <c r="B42" s="1">
        <v>0.057</v>
      </c>
      <c r="C42" s="4">
        <f t="shared" si="1"/>
        <v>57</v>
      </c>
      <c r="D42" s="4">
        <f t="shared" si="2"/>
        <v>20.76502732</v>
      </c>
    </row>
    <row r="43">
      <c r="A43" s="1" t="s">
        <v>28</v>
      </c>
      <c r="B43" s="1">
        <v>0.0554</v>
      </c>
      <c r="C43" s="4">
        <f t="shared" si="1"/>
        <v>55.4</v>
      </c>
      <c r="D43" s="4">
        <f t="shared" si="2"/>
        <v>20.18214936</v>
      </c>
      <c r="E43" s="4">
        <f>AVERAGE(D42:D44)</f>
        <v>20.47358834</v>
      </c>
    </row>
    <row r="44">
      <c r="B44" s="1">
        <v>0.0562</v>
      </c>
      <c r="C44" s="4">
        <f t="shared" si="1"/>
        <v>56.2</v>
      </c>
      <c r="D44" s="4">
        <f t="shared" si="2"/>
        <v>20.47358834</v>
      </c>
    </row>
    <row r="45">
      <c r="B45" s="1">
        <v>0.0567</v>
      </c>
      <c r="C45" s="4">
        <f t="shared" si="1"/>
        <v>56.7</v>
      </c>
      <c r="D45" s="4">
        <f t="shared" si="2"/>
        <v>20.6557377</v>
      </c>
    </row>
    <row r="46">
      <c r="A46" s="1" t="s">
        <v>29</v>
      </c>
      <c r="B46" s="1">
        <v>0.069</v>
      </c>
      <c r="C46" s="4">
        <f t="shared" si="1"/>
        <v>69</v>
      </c>
      <c r="D46" s="4">
        <f t="shared" si="2"/>
        <v>25.13661202</v>
      </c>
      <c r="E46" s="4">
        <f>AVERAGE(D45:D47)</f>
        <v>23.65513054</v>
      </c>
    </row>
    <row r="47">
      <c r="B47" s="1">
        <v>0.0691</v>
      </c>
      <c r="C47" s="4">
        <f t="shared" si="1"/>
        <v>69.1</v>
      </c>
      <c r="D47" s="4">
        <f t="shared" si="2"/>
        <v>25.17304189</v>
      </c>
    </row>
    <row r="48">
      <c r="B48" s="1">
        <v>0.0745</v>
      </c>
      <c r="C48" s="4">
        <f t="shared" si="1"/>
        <v>74.5</v>
      </c>
      <c r="D48" s="4">
        <f t="shared" si="2"/>
        <v>27.14025501</v>
      </c>
    </row>
    <row r="49">
      <c r="A49" s="1" t="s">
        <v>30</v>
      </c>
      <c r="B49" s="1">
        <v>0.0778</v>
      </c>
      <c r="C49" s="4">
        <f t="shared" si="1"/>
        <v>77.8</v>
      </c>
      <c r="D49" s="4">
        <f t="shared" si="2"/>
        <v>28.3424408</v>
      </c>
      <c r="E49" s="4">
        <f>AVERAGE(D48:D50)</f>
        <v>27.60170006</v>
      </c>
    </row>
    <row r="50">
      <c r="B50" s="1">
        <v>0.075</v>
      </c>
      <c r="C50" s="4">
        <f t="shared" si="1"/>
        <v>75</v>
      </c>
      <c r="D50" s="4">
        <f t="shared" si="2"/>
        <v>27.32240437</v>
      </c>
    </row>
    <row r="54">
      <c r="B54" s="1" t="s">
        <v>17</v>
      </c>
    </row>
    <row r="55">
      <c r="A55" s="1">
        <v>0.5</v>
      </c>
      <c r="B55" s="1"/>
    </row>
    <row r="56">
      <c r="A56" s="1">
        <v>1.0</v>
      </c>
      <c r="B56" s="1"/>
    </row>
    <row r="57">
      <c r="A57" s="1">
        <v>1.5</v>
      </c>
      <c r="B57" s="1"/>
    </row>
    <row r="58">
      <c r="A58" s="1">
        <v>2.0</v>
      </c>
      <c r="B58" s="6"/>
    </row>
    <row r="59">
      <c r="A59" s="1">
        <v>2.5</v>
      </c>
      <c r="B59" s="6"/>
    </row>
    <row r="60">
      <c r="A60" s="1">
        <v>3.0</v>
      </c>
      <c r="B60" s="6">
        <v>24.772313296903462</v>
      </c>
    </row>
    <row r="61">
      <c r="A61" s="1"/>
      <c r="B61" s="6"/>
    </row>
    <row r="62">
      <c r="A62" s="1">
        <v>0.5</v>
      </c>
      <c r="B62" s="6">
        <v>0.26715239829993925</v>
      </c>
    </row>
    <row r="63">
      <c r="A63" s="1">
        <v>1.0</v>
      </c>
      <c r="B63" s="6">
        <v>8.718882817243474</v>
      </c>
    </row>
    <row r="64">
      <c r="A64" s="1">
        <v>1.5</v>
      </c>
      <c r="B64" s="6">
        <v>15.907710989678202</v>
      </c>
    </row>
    <row r="65">
      <c r="A65" s="1">
        <v>2.0</v>
      </c>
      <c r="B65" s="6">
        <v>17.10989678202793</v>
      </c>
    </row>
    <row r="66">
      <c r="A66" s="1">
        <v>2.5</v>
      </c>
      <c r="B66" s="6">
        <v>19.611414693381906</v>
      </c>
    </row>
    <row r="67">
      <c r="A67" s="1">
        <v>3.0</v>
      </c>
      <c r="B67" s="6">
        <v>19.562841530054644</v>
      </c>
    </row>
    <row r="68">
      <c r="B68" s="6"/>
    </row>
    <row r="69">
      <c r="A69" s="1">
        <v>0.5</v>
      </c>
      <c r="B69" s="6">
        <v>1.0443230115361264</v>
      </c>
    </row>
    <row r="70">
      <c r="A70" s="1">
        <v>1.0</v>
      </c>
      <c r="B70" s="6">
        <v>17.522768670309656</v>
      </c>
    </row>
    <row r="71">
      <c r="A71" s="1">
        <v>1.5</v>
      </c>
      <c r="B71" s="6">
        <v>19.763205828779597</v>
      </c>
    </row>
    <row r="72">
      <c r="A72" s="1">
        <v>2.0</v>
      </c>
      <c r="B72" s="6">
        <v>20.473588342440806</v>
      </c>
    </row>
    <row r="73">
      <c r="A73" s="1">
        <v>2.5</v>
      </c>
      <c r="B73" s="6">
        <v>23.655130540376444</v>
      </c>
    </row>
    <row r="74">
      <c r="A74" s="1">
        <v>3.0</v>
      </c>
      <c r="B74" s="6">
        <v>27.601700060716453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31</v>
      </c>
      <c r="B1" s="1" t="s">
        <v>3</v>
      </c>
      <c r="D1" s="1" t="s">
        <v>0</v>
      </c>
      <c r="E1" s="1" t="s">
        <v>1</v>
      </c>
    </row>
    <row r="2">
      <c r="A2" s="1" t="s">
        <v>32</v>
      </c>
      <c r="B2" s="2">
        <v>0.0301798941798941</v>
      </c>
      <c r="D2" s="1" t="s">
        <v>4</v>
      </c>
      <c r="E2" s="1">
        <v>1.83E-4</v>
      </c>
    </row>
    <row r="3">
      <c r="A3" s="1" t="s">
        <v>33</v>
      </c>
      <c r="B3" s="2">
        <v>0.0342645502645502</v>
      </c>
      <c r="D3" s="1" t="s">
        <v>6</v>
      </c>
      <c r="E3" s="1">
        <v>1.05E-4</v>
      </c>
    </row>
    <row r="4">
      <c r="A4" s="1" t="s">
        <v>34</v>
      </c>
      <c r="B4" s="2">
        <v>0.0379047619047619</v>
      </c>
      <c r="D4" s="1" t="s">
        <v>8</v>
      </c>
      <c r="E4" s="1">
        <v>0.015</v>
      </c>
    </row>
    <row r="5">
      <c r="A5" s="1" t="s">
        <v>35</v>
      </c>
      <c r="B5" s="2">
        <v>0.00717460317460317</v>
      </c>
    </row>
    <row r="6">
      <c r="A6" s="1" t="s">
        <v>36</v>
      </c>
      <c r="B6" s="2">
        <v>8.46560846560846E-4</v>
      </c>
    </row>
    <row r="7">
      <c r="A7" s="1" t="s">
        <v>37</v>
      </c>
      <c r="B7" s="2">
        <v>0.00101587301587301</v>
      </c>
    </row>
    <row r="8">
      <c r="A8" s="1" t="s">
        <v>38</v>
      </c>
      <c r="B8" s="2">
        <v>0.00861904761904762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39</v>
      </c>
    </row>
    <row r="20">
      <c r="B20" s="1">
        <v>0.0142</v>
      </c>
      <c r="C20" s="4">
        <f t="shared" ref="C20:C58" si="1">B20*1000</f>
        <v>14.2</v>
      </c>
      <c r="D20" s="4">
        <f t="shared" ref="D20:D58" si="2">(C20/($E$4*$E$3))/1000000</f>
        <v>9.015873016</v>
      </c>
    </row>
    <row r="21">
      <c r="A21" s="1" t="s">
        <v>40</v>
      </c>
      <c r="B21" s="1">
        <v>0.0182</v>
      </c>
      <c r="C21" s="4">
        <f t="shared" si="1"/>
        <v>18.2</v>
      </c>
      <c r="D21" s="4">
        <f t="shared" si="2"/>
        <v>11.55555556</v>
      </c>
      <c r="E21" s="4">
        <f>AVERAGE(D20:D22)</f>
        <v>9.989417989</v>
      </c>
    </row>
    <row r="22">
      <c r="B22" s="1">
        <v>0.0148</v>
      </c>
      <c r="C22" s="4">
        <f t="shared" si="1"/>
        <v>14.8</v>
      </c>
      <c r="D22" s="4">
        <f t="shared" si="2"/>
        <v>9.396825397</v>
      </c>
    </row>
    <row r="23">
      <c r="B23" s="1">
        <v>0.0411</v>
      </c>
      <c r="C23" s="4">
        <f t="shared" si="1"/>
        <v>41.1</v>
      </c>
      <c r="D23" s="4">
        <f t="shared" si="2"/>
        <v>26.0952381</v>
      </c>
    </row>
    <row r="24">
      <c r="A24" s="1" t="s">
        <v>19</v>
      </c>
      <c r="B24" s="1">
        <v>0.0559</v>
      </c>
      <c r="C24" s="4">
        <f t="shared" si="1"/>
        <v>55.9</v>
      </c>
      <c r="D24" s="4">
        <f t="shared" si="2"/>
        <v>35.49206349</v>
      </c>
      <c r="E24" s="4">
        <f>AVERAGE(D23:D25)</f>
        <v>31.34391534</v>
      </c>
    </row>
    <row r="25">
      <c r="B25" s="1">
        <v>0.0511</v>
      </c>
      <c r="C25" s="4">
        <f t="shared" si="1"/>
        <v>51.1</v>
      </c>
      <c r="D25" s="4">
        <f t="shared" si="2"/>
        <v>32.44444444</v>
      </c>
    </row>
    <row r="26">
      <c r="B26" s="1">
        <v>0.0638</v>
      </c>
      <c r="C26" s="4">
        <f t="shared" si="1"/>
        <v>63.8</v>
      </c>
      <c r="D26" s="4">
        <f t="shared" si="2"/>
        <v>40.50793651</v>
      </c>
    </row>
    <row r="27">
      <c r="A27" s="1" t="s">
        <v>20</v>
      </c>
      <c r="B27" s="1">
        <v>0.0726</v>
      </c>
      <c r="C27" s="4">
        <f t="shared" si="1"/>
        <v>72.6</v>
      </c>
      <c r="D27" s="4">
        <f t="shared" si="2"/>
        <v>46.0952381</v>
      </c>
      <c r="E27" s="4">
        <f>AVERAGE(D26:D28)</f>
        <v>46.58201058</v>
      </c>
    </row>
    <row r="28">
      <c r="B28" s="1">
        <v>0.0837</v>
      </c>
      <c r="C28" s="4">
        <f t="shared" si="1"/>
        <v>83.7</v>
      </c>
      <c r="D28" s="4">
        <f t="shared" si="2"/>
        <v>53.14285714</v>
      </c>
    </row>
    <row r="29">
      <c r="B29" s="1">
        <v>0.0725</v>
      </c>
      <c r="C29" s="4">
        <f t="shared" si="1"/>
        <v>72.5</v>
      </c>
      <c r="D29" s="4">
        <f t="shared" si="2"/>
        <v>46.03174603</v>
      </c>
    </row>
    <row r="30">
      <c r="A30" s="1" t="s">
        <v>21</v>
      </c>
      <c r="B30" s="1">
        <v>0.0669</v>
      </c>
      <c r="C30" s="4">
        <f t="shared" si="1"/>
        <v>66.9</v>
      </c>
      <c r="D30" s="4">
        <f t="shared" si="2"/>
        <v>42.47619048</v>
      </c>
      <c r="E30" s="4">
        <f>AVERAGE(D29:D31)</f>
        <v>44.67724868</v>
      </c>
    </row>
    <row r="31">
      <c r="B31" s="1">
        <v>0.0717</v>
      </c>
      <c r="C31" s="4">
        <f t="shared" si="1"/>
        <v>71.7</v>
      </c>
      <c r="D31" s="4">
        <f t="shared" si="2"/>
        <v>45.52380952</v>
      </c>
    </row>
    <row r="32">
      <c r="B32" s="1">
        <v>0.0792</v>
      </c>
      <c r="C32" s="4">
        <f t="shared" si="1"/>
        <v>79.2</v>
      </c>
      <c r="D32" s="4">
        <f t="shared" si="2"/>
        <v>50.28571429</v>
      </c>
    </row>
    <row r="33">
      <c r="A33" s="1" t="s">
        <v>22</v>
      </c>
      <c r="B33" s="1">
        <v>0.0721</v>
      </c>
      <c r="C33" s="4">
        <f t="shared" si="1"/>
        <v>72.1</v>
      </c>
      <c r="D33" s="4">
        <f t="shared" si="2"/>
        <v>45.77777778</v>
      </c>
      <c r="E33" s="4">
        <f>AVERAGE(D32:D34)</f>
        <v>49.24867725</v>
      </c>
    </row>
    <row r="34">
      <c r="B34" s="1">
        <v>0.0814</v>
      </c>
      <c r="C34" s="4">
        <f t="shared" si="1"/>
        <v>81.4</v>
      </c>
      <c r="D34" s="4">
        <f t="shared" si="2"/>
        <v>51.68253968</v>
      </c>
    </row>
    <row r="35">
      <c r="B35" s="1">
        <v>0.0855</v>
      </c>
      <c r="C35" s="4">
        <f t="shared" si="1"/>
        <v>85.5</v>
      </c>
      <c r="D35" s="4">
        <f t="shared" si="2"/>
        <v>54.28571429</v>
      </c>
    </row>
    <row r="36">
      <c r="A36" s="1" t="s">
        <v>23</v>
      </c>
      <c r="B36" s="1">
        <v>0.0893</v>
      </c>
      <c r="C36" s="4">
        <f t="shared" si="1"/>
        <v>89.3</v>
      </c>
      <c r="D36" s="4">
        <f t="shared" si="2"/>
        <v>56.6984127</v>
      </c>
      <c r="E36" s="4">
        <f>AVERAGE(D35:D37)</f>
        <v>55.15343915</v>
      </c>
    </row>
    <row r="37">
      <c r="B37" s="1">
        <v>0.0858</v>
      </c>
      <c r="C37" s="4">
        <f t="shared" si="1"/>
        <v>85.8</v>
      </c>
      <c r="D37" s="4">
        <f t="shared" si="2"/>
        <v>54.47619048</v>
      </c>
    </row>
    <row r="38">
      <c r="B38" s="1">
        <v>0.0822</v>
      </c>
      <c r="C38" s="4">
        <f t="shared" si="1"/>
        <v>82.2</v>
      </c>
      <c r="D38" s="4">
        <f t="shared" si="2"/>
        <v>52.19047619</v>
      </c>
    </row>
    <row r="39">
      <c r="A39" s="1" t="s">
        <v>24</v>
      </c>
      <c r="B39" s="1">
        <v>0.0699</v>
      </c>
      <c r="C39" s="4">
        <f t="shared" si="1"/>
        <v>69.9</v>
      </c>
      <c r="D39" s="4">
        <f t="shared" si="2"/>
        <v>44.38095238</v>
      </c>
      <c r="E39" s="4">
        <f>AVERAGE(D38:D40)</f>
        <v>49.14285714</v>
      </c>
    </row>
    <row r="40">
      <c r="B40" s="1">
        <v>0.0801</v>
      </c>
      <c r="C40" s="4">
        <f t="shared" si="1"/>
        <v>80.1</v>
      </c>
      <c r="D40" s="4">
        <f t="shared" si="2"/>
        <v>50.85714286</v>
      </c>
    </row>
    <row r="41">
      <c r="C41" s="4">
        <f t="shared" si="1"/>
        <v>0</v>
      </c>
      <c r="D41" s="4">
        <f t="shared" si="2"/>
        <v>0</v>
      </c>
    </row>
    <row r="42">
      <c r="A42" s="1" t="s">
        <v>25</v>
      </c>
      <c r="C42" s="4">
        <f t="shared" si="1"/>
        <v>0</v>
      </c>
      <c r="D42" s="4">
        <f t="shared" si="2"/>
        <v>0</v>
      </c>
      <c r="E42" s="4">
        <f>AVERAGE(D41:D43)</f>
        <v>0</v>
      </c>
    </row>
    <row r="43">
      <c r="C43" s="4">
        <f t="shared" si="1"/>
        <v>0</v>
      </c>
      <c r="D43" s="4">
        <f t="shared" si="2"/>
        <v>0</v>
      </c>
    </row>
    <row r="44">
      <c r="C44" s="4">
        <f t="shared" si="1"/>
        <v>0</v>
      </c>
      <c r="D44" s="4">
        <f t="shared" si="2"/>
        <v>0</v>
      </c>
    </row>
    <row r="45">
      <c r="A45" s="1" t="s">
        <v>26</v>
      </c>
      <c r="C45" s="4">
        <f t="shared" si="1"/>
        <v>0</v>
      </c>
      <c r="D45" s="4">
        <f t="shared" si="2"/>
        <v>0</v>
      </c>
      <c r="E45" s="4">
        <f>AVERAGE(D44:D46)</f>
        <v>0</v>
      </c>
    </row>
    <row r="46">
      <c r="C46" s="4">
        <f t="shared" si="1"/>
        <v>0</v>
      </c>
      <c r="D46" s="4">
        <f t="shared" si="2"/>
        <v>0</v>
      </c>
    </row>
    <row r="47">
      <c r="B47" s="5"/>
      <c r="C47" s="4">
        <f t="shared" si="1"/>
        <v>0</v>
      </c>
      <c r="D47" s="4">
        <f t="shared" si="2"/>
        <v>0</v>
      </c>
    </row>
    <row r="48">
      <c r="A48" s="1" t="s">
        <v>27</v>
      </c>
      <c r="B48" s="1">
        <v>0.0788</v>
      </c>
      <c r="C48" s="4">
        <f t="shared" si="1"/>
        <v>78.8</v>
      </c>
      <c r="D48" s="4">
        <f t="shared" si="2"/>
        <v>50.03174603</v>
      </c>
      <c r="E48" s="4">
        <f>AVERAGE(D48)</f>
        <v>50.03174603</v>
      </c>
    </row>
    <row r="49">
      <c r="C49" s="4">
        <f t="shared" si="1"/>
        <v>0</v>
      </c>
      <c r="D49" s="4">
        <f t="shared" si="2"/>
        <v>0</v>
      </c>
    </row>
    <row r="50">
      <c r="C50" s="4">
        <f t="shared" si="1"/>
        <v>0</v>
      </c>
      <c r="D50" s="4">
        <f t="shared" si="2"/>
        <v>0</v>
      </c>
    </row>
    <row r="51">
      <c r="A51" s="1" t="s">
        <v>28</v>
      </c>
      <c r="B51" s="1">
        <v>0.0758</v>
      </c>
      <c r="C51" s="4">
        <f t="shared" si="1"/>
        <v>75.8</v>
      </c>
      <c r="D51" s="4">
        <f t="shared" si="2"/>
        <v>48.12698413</v>
      </c>
      <c r="E51" s="4">
        <f>AVERAGE(D51)</f>
        <v>48.12698413</v>
      </c>
    </row>
    <row r="52">
      <c r="C52" s="4">
        <f t="shared" si="1"/>
        <v>0</v>
      </c>
      <c r="D52" s="4">
        <f t="shared" si="2"/>
        <v>0</v>
      </c>
    </row>
    <row r="53">
      <c r="C53" s="4">
        <f t="shared" si="1"/>
        <v>0</v>
      </c>
      <c r="D53" s="4">
        <f t="shared" si="2"/>
        <v>0</v>
      </c>
    </row>
    <row r="54">
      <c r="A54" s="1" t="s">
        <v>29</v>
      </c>
      <c r="B54" s="1">
        <v>0.0632</v>
      </c>
      <c r="C54" s="4">
        <f t="shared" si="1"/>
        <v>63.2</v>
      </c>
      <c r="D54" s="4">
        <f t="shared" si="2"/>
        <v>40.12698413</v>
      </c>
      <c r="E54" s="4">
        <f>AVERAGE(D54)</f>
        <v>40.12698413</v>
      </c>
    </row>
    <row r="55">
      <c r="C55" s="4">
        <f t="shared" si="1"/>
        <v>0</v>
      </c>
      <c r="D55" s="4">
        <f t="shared" si="2"/>
        <v>0</v>
      </c>
    </row>
    <row r="56">
      <c r="C56" s="4">
        <f t="shared" si="1"/>
        <v>0</v>
      </c>
      <c r="D56" s="4">
        <f t="shared" si="2"/>
        <v>0</v>
      </c>
    </row>
    <row r="57">
      <c r="A57" s="1" t="s">
        <v>30</v>
      </c>
      <c r="C57" s="4">
        <f t="shared" si="1"/>
        <v>0</v>
      </c>
      <c r="D57" s="4">
        <f t="shared" si="2"/>
        <v>0</v>
      </c>
      <c r="E57" s="4">
        <f>AVERAGE(D56:D59)</f>
        <v>0</v>
      </c>
    </row>
    <row r="58">
      <c r="A58" s="1"/>
      <c r="C58" s="4">
        <f t="shared" si="1"/>
        <v>0</v>
      </c>
      <c r="D58" s="4">
        <f t="shared" si="2"/>
        <v>0</v>
      </c>
    </row>
    <row r="59">
      <c r="A59" s="1">
        <v>0.5</v>
      </c>
    </row>
    <row r="60">
      <c r="A60" s="1">
        <v>1.0</v>
      </c>
    </row>
    <row r="61">
      <c r="A61" s="1">
        <v>1.5</v>
      </c>
    </row>
    <row r="62">
      <c r="A62" s="1">
        <v>2.0</v>
      </c>
    </row>
    <row r="63">
      <c r="A63" s="1">
        <v>2.5</v>
      </c>
    </row>
    <row r="64">
      <c r="A64" s="1">
        <v>3.0</v>
      </c>
      <c r="B64" s="4">
        <v>9.989417989417989</v>
      </c>
    </row>
    <row r="66">
      <c r="A66" s="1">
        <v>0.5</v>
      </c>
      <c r="B66" s="4">
        <v>31.343915343915345</v>
      </c>
    </row>
    <row r="67">
      <c r="A67" s="1">
        <v>1.0</v>
      </c>
      <c r="B67" s="4">
        <v>46.58201058201058</v>
      </c>
    </row>
    <row r="68">
      <c r="A68" s="1">
        <v>1.5</v>
      </c>
      <c r="B68" s="4">
        <v>44.67724867724868</v>
      </c>
    </row>
    <row r="69">
      <c r="A69" s="1">
        <v>2.0</v>
      </c>
      <c r="B69" s="4">
        <v>49.24867724867725</v>
      </c>
    </row>
    <row r="70">
      <c r="A70" s="1">
        <v>2.5</v>
      </c>
      <c r="B70" s="4">
        <v>55.15343915343916</v>
      </c>
    </row>
    <row r="71">
      <c r="A71" s="1">
        <v>3.0</v>
      </c>
      <c r="B71" s="4">
        <v>49.142857142857146</v>
      </c>
    </row>
    <row r="72">
      <c r="A72" s="1"/>
    </row>
    <row r="73">
      <c r="A73" s="1">
        <v>0.5</v>
      </c>
    </row>
    <row r="74">
      <c r="A74" s="1">
        <v>1.0</v>
      </c>
    </row>
    <row r="75">
      <c r="A75" s="1">
        <v>1.5</v>
      </c>
      <c r="B75" s="4">
        <v>50.03174603174603</v>
      </c>
    </row>
    <row r="76">
      <c r="A76" s="1">
        <v>2.0</v>
      </c>
      <c r="B76" s="4">
        <v>48.126984126984134</v>
      </c>
    </row>
    <row r="77">
      <c r="A77" s="1">
        <v>2.5</v>
      </c>
      <c r="B77" s="4">
        <v>40.12698412698413</v>
      </c>
    </row>
    <row r="78">
      <c r="A78" s="1">
        <v>3.0</v>
      </c>
    </row>
    <row r="80">
      <c r="B80" s="1">
        <v>0.5</v>
      </c>
      <c r="C80" s="1">
        <v>1.0</v>
      </c>
      <c r="D80" s="1">
        <v>1.5</v>
      </c>
      <c r="E80" s="1">
        <v>2.0</v>
      </c>
      <c r="F80" s="1">
        <v>2.5</v>
      </c>
      <c r="G80" s="1">
        <v>3.0</v>
      </c>
    </row>
    <row r="81">
      <c r="A81" s="1">
        <v>0.5</v>
      </c>
      <c r="B81" s="4">
        <v>31.343915343915345</v>
      </c>
    </row>
    <row r="82">
      <c r="A82" s="1">
        <v>1.0</v>
      </c>
      <c r="C82" s="4">
        <v>46.58201058201058</v>
      </c>
    </row>
    <row r="83">
      <c r="A83" s="1">
        <v>1.5</v>
      </c>
      <c r="D83" s="4">
        <v>44.67724867724868</v>
      </c>
    </row>
    <row r="84">
      <c r="A84" s="1">
        <v>2.0</v>
      </c>
      <c r="E84" s="4">
        <v>49.24867724867725</v>
      </c>
    </row>
    <row r="85">
      <c r="A85" s="1">
        <v>2.5</v>
      </c>
      <c r="F85" s="4">
        <v>55.15343915343916</v>
      </c>
    </row>
    <row r="86">
      <c r="A86" s="1">
        <v>3.0</v>
      </c>
      <c r="G86" s="4">
        <v>49.142857142857146</v>
      </c>
    </row>
    <row r="88">
      <c r="B88" s="1">
        <v>1.5</v>
      </c>
      <c r="C88" s="1">
        <v>2.0</v>
      </c>
      <c r="D88" s="1">
        <v>2.5</v>
      </c>
    </row>
    <row r="89">
      <c r="A89" s="1">
        <v>1.5</v>
      </c>
      <c r="B89" s="4">
        <v>50.03174603174603</v>
      </c>
    </row>
    <row r="90">
      <c r="A90" s="1">
        <v>2.0</v>
      </c>
      <c r="C90" s="4">
        <v>48.126984126984134</v>
      </c>
    </row>
    <row r="91">
      <c r="A91" s="1">
        <v>2.5</v>
      </c>
      <c r="D91" s="4">
        <v>40.12698412698413</v>
      </c>
    </row>
  </sheetData>
  <drawing r:id="rId1"/>
</worksheet>
</file>